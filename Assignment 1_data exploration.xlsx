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original data sheet" sheetId="1" r:id="rId1"/>
    <sheet name="Dat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<sst xmlns="http://schemas.openxmlformats.org/spreadsheetml/2006/main" count="302" uniqueCount="111">
  <si>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</si>
  <si>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</si>
  <si>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</si>
  <si>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</si>
  <si>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</si>
  <si>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</si>
  <si>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</si>
  <si>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</si>
  <si>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</si>
  <si>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</si>
  <si>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</si>
  <si>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</si>
  <si>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</si>
  <si>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</si>
  <si>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</si>
  <si>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</si>
  <si>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</si>
  <si>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</si>
  <si>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</si>
  <si>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</si>
  <si>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</si>
  <si>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</si>
  <si>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</si>
  <si>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</si>
  <si>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</si>
  <si>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</si>
  <si>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</si>
  <si>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</si>
  <si>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</si>
  <si>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</si>
  <si>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</si>
  <si>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</si>
  <si>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</si>
  <si>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</si>
  <si>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</si>
  <si>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</si>
  <si>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</si>
  <si>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</si>
  <si>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</si>
  <si>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</si>
  <si>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</si>
  <si>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</si>
  <si>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</si>
  <si>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</si>
  <si>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</si>
  <si>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</si>
  <si>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</si>
  <si>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</si>
  <si>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</si>
  <si>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</si>
  <si>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</si>
  <si>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</si>
  <si>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</si>
  <si>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</si>
  <si>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</si>
  <si>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</si>
  <si>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</si>
  <si>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</si>
  <si>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</si>
  <si>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</si>
  <si>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</si>
  <si>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</si>
  <si>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</si>
  <si>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</si>
  <si>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</si>
  <si>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</si>
  <si>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</si>
  <si>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</si>
  <si>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</si>
  <si>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</si>
  <si>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</si>
  <si>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</si>
  <si>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</si>
  <si>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</si>
  <si>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</si>
  <si>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</si>
  <si>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</si>
  <si>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</si>
  <si>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</si>
  <si>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</si>
  <si>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</si>
  <si>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</si>
  <si>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</si>
  <si>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</si>
  <si>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</si>
  <si>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</si>
  <si>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</si>
  <si>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</si>
  <si>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</si>
  <si>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</si>
  <si>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</si>
  <si>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</si>
  <si>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</si>
  <si>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</si>
  <si>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</si>
  <si>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</si>
  <si>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</si>
  <si>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Total price of all products</t>
  </si>
  <si>
    <t>SUM</t>
  </si>
  <si>
    <t>No.of products exist in dataset</t>
  </si>
  <si>
    <t>COUNTA</t>
  </si>
  <si>
    <t>Average price of the products</t>
  </si>
  <si>
    <t>AVERAGE</t>
  </si>
  <si>
    <t>Minimum price</t>
  </si>
  <si>
    <t>MIN</t>
  </si>
  <si>
    <t>Maximum price</t>
  </si>
  <si>
    <t>MAX</t>
  </si>
  <si>
    <t>Total price of products in the Electronics category</t>
  </si>
  <si>
    <t>SUMIF</t>
  </si>
  <si>
    <t>No.of products with a price &lt; $100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</si>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</sst>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6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theme="9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justify" vertical="center"/>
    </xf>
    <xf numFmtId="0" fontId="1" fillId="2" borderId="1" xfId="0" applyFont="1" applyFill="1" applyBorder="1" applyAlignment="1">
      <alignment horizontal="justify"/>
    </xf>
    <xf numFmtId="0" fontId="1" fillId="3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justify"/>
    </xf>
    <xf numFmtId="0" fontId="0" fillId="4" borderId="3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justify"/>
    </xf>
    <xf numFmtId="0" fontId="0" fillId="4" borderId="1" xfId="0" applyFill="1" applyBorder="1" applyAlignment="1">
      <alignment horizontal="center" vertical="center"/>
    </xf>
    <xf numFmtId="0" fontId="3" fillId="6" borderId="4" xfId="0" applyFont="1" applyFill="1" applyBorder="1" applyAlignment="1">
      <alignment wrapText="1"/>
    </xf>
    <xf numFmtId="0" fontId="4" fillId="4" borderId="1" xfId="0" applyFont="1" applyFill="1" applyBorder="1" applyAlignment="1">
      <alignment horizontal="justify" vertical="center"/>
    </xf>
    <xf numFmtId="0" fontId="4" fillId="4" borderId="1" xfId="0" applyFont="1" applyFill="1" applyBorder="1" applyAlignment="1">
      <alignment horizontal="justify" vertical="center"/>
    </xf>
    <xf numFmtId="0" fontId="3" fillId="6" borderId="5" xfId="0" applyFont="1" applyFill="1" applyBorder="1" applyAlignment="1">
      <alignment wrapText="1"/>
    </xf>
    <xf numFmtId="0" fontId="3" fillId="6" borderId="6" xfId="0" applyFont="1" applyFill="1" applyBorder="1" applyAlignment="1">
      <alignment wrapText="1"/>
    </xf>
    <xf numFmtId="0" fontId="5" fillId="6" borderId="6" xfId="0" applyFont="1" applyFill="1" applyBorder="1" applyAlignment="1">
      <alignment vertical="center"/>
    </xf>
    <xf numFmtId="0" fontId="3" fillId="6" borderId="4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5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A1" sqref="A1:F35"/>
    </sheetView>
  </sheetViews>
  <sheetFormatPr defaultColWidth="9.14285714285714" defaultRowHeight="15" outlineLevelCol="5"/>
  <cols>
    <col min="1" max="1" width="17.5714285714286" customWidth="1"/>
    <col min="2" max="2" width="17.4285714285714" customWidth="1"/>
    <col min="3" max="3" width="16.4285714285714" customWidth="1"/>
    <col min="4" max="5" width="18.2857142857143" customWidth="1"/>
    <col min="6" max="6" width="17.1428571428571" customWidth="1"/>
  </cols>
  <sheetData>
    <row r="1" spans="1: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16" t="s">
        <v>6</v>
      </c>
      <c r="B2" s="16" t="s">
        <v>7</v>
      </c>
      <c r="C2" s="16" t="s">
        <v>8</v>
      </c>
      <c r="D2" s="16">
        <v>1000</v>
      </c>
      <c r="E2" s="16">
        <v>30</v>
      </c>
      <c r="F2" s="16" t="s">
        <v>9</v>
      </c>
    </row>
    <row r="3" spans="1:6">
      <c r="A3" s="17" t="s">
        <v>10</v>
      </c>
      <c r="B3" s="17" t="s">
        <v>11</v>
      </c>
      <c r="C3" s="17" t="s">
        <v>12</v>
      </c>
      <c r="D3" s="17">
        <v>80</v>
      </c>
      <c r="E3" s="17">
        <v>15</v>
      </c>
      <c r="F3" s="17" t="s">
        <v>13</v>
      </c>
    </row>
    <row r="4" spans="1:6">
      <c r="A4" s="16" t="s">
        <v>14</v>
      </c>
      <c r="B4" s="16" t="s">
        <v>15</v>
      </c>
      <c r="C4" s="16" t="s">
        <v>16</v>
      </c>
      <c r="D4" s="16">
        <v>130</v>
      </c>
      <c r="E4" s="16">
        <v>40</v>
      </c>
      <c r="F4" s="16" t="s">
        <v>17</v>
      </c>
    </row>
    <row r="5" spans="1:6">
      <c r="A5" s="17" t="s">
        <v>18</v>
      </c>
      <c r="B5" s="17" t="s">
        <v>19</v>
      </c>
      <c r="C5" s="17" t="s">
        <v>20</v>
      </c>
      <c r="D5" s="17">
        <v>900</v>
      </c>
      <c r="E5" s="17">
        <v>25</v>
      </c>
      <c r="F5" s="17" t="s">
        <v>9</v>
      </c>
    </row>
    <row r="6" spans="1:6">
      <c r="A6" s="16" t="s">
        <v>21</v>
      </c>
      <c r="B6" s="16" t="s">
        <v>22</v>
      </c>
      <c r="C6" s="16" t="s">
        <v>23</v>
      </c>
      <c r="D6" s="16">
        <v>70</v>
      </c>
      <c r="E6" s="16">
        <v>20</v>
      </c>
      <c r="F6" s="16" t="s">
        <v>24</v>
      </c>
    </row>
    <row r="7" spans="1:6">
      <c r="A7" s="17" t="s">
        <v>25</v>
      </c>
      <c r="B7" s="17" t="s">
        <v>26</v>
      </c>
      <c r="C7" s="17" t="s">
        <v>27</v>
      </c>
      <c r="D7" s="17">
        <v>200</v>
      </c>
      <c r="E7" s="17">
        <v>45</v>
      </c>
      <c r="F7" s="17" t="s">
        <v>9</v>
      </c>
    </row>
    <row r="8" spans="1:6">
      <c r="A8" s="16" t="s">
        <v>28</v>
      </c>
      <c r="B8" s="16" t="s">
        <v>29</v>
      </c>
      <c r="C8" s="16" t="s">
        <v>30</v>
      </c>
      <c r="D8" s="16">
        <v>30</v>
      </c>
      <c r="E8" s="16">
        <v>5</v>
      </c>
      <c r="F8" s="16" t="s">
        <v>13</v>
      </c>
    </row>
    <row r="9" spans="1:6">
      <c r="A9" s="17" t="s">
        <v>31</v>
      </c>
      <c r="B9" s="17" t="s">
        <v>32</v>
      </c>
      <c r="C9" s="17" t="s">
        <v>33</v>
      </c>
      <c r="D9" s="17">
        <v>90</v>
      </c>
      <c r="E9" s="17">
        <v>35</v>
      </c>
      <c r="F9" s="17" t="s">
        <v>17</v>
      </c>
    </row>
    <row r="10" spans="1:6">
      <c r="A10" s="16" t="s">
        <v>34</v>
      </c>
      <c r="B10" s="16" t="s">
        <v>35</v>
      </c>
      <c r="C10" s="16" t="s">
        <v>36</v>
      </c>
      <c r="D10" s="16">
        <v>500</v>
      </c>
      <c r="E10" s="16">
        <v>50</v>
      </c>
      <c r="F10" s="16" t="s">
        <v>9</v>
      </c>
    </row>
    <row r="11" spans="1:6">
      <c r="A11" s="17" t="s">
        <v>37</v>
      </c>
      <c r="B11" s="17" t="s">
        <v>38</v>
      </c>
      <c r="C11" s="17" t="s">
        <v>39</v>
      </c>
      <c r="D11" s="17">
        <v>130</v>
      </c>
      <c r="E11" s="17">
        <v>10</v>
      </c>
      <c r="F11" s="17" t="s">
        <v>24</v>
      </c>
    </row>
    <row r="12" spans="1:6">
      <c r="A12" s="16" t="s">
        <v>40</v>
      </c>
      <c r="B12" s="16" t="s">
        <v>7</v>
      </c>
      <c r="C12" s="16" t="s">
        <v>41</v>
      </c>
      <c r="D12" s="16">
        <v>950</v>
      </c>
      <c r="E12" s="16">
        <v>25</v>
      </c>
      <c r="F12" s="16" t="s">
        <v>9</v>
      </c>
    </row>
    <row r="13" spans="1:6">
      <c r="A13" s="17" t="s">
        <v>42</v>
      </c>
      <c r="B13" s="17" t="s">
        <v>11</v>
      </c>
      <c r="C13" s="17" t="s">
        <v>30</v>
      </c>
      <c r="D13" s="17">
        <v>90</v>
      </c>
      <c r="E13" s="17">
        <v>40</v>
      </c>
      <c r="F13" s="17" t="s">
        <v>13</v>
      </c>
    </row>
    <row r="14" spans="1:6">
      <c r="A14" s="16" t="s">
        <v>43</v>
      </c>
      <c r="B14" s="16" t="s">
        <v>15</v>
      </c>
      <c r="C14" s="16" t="s">
        <v>44</v>
      </c>
      <c r="D14" s="16">
        <v>120</v>
      </c>
      <c r="E14" s="16">
        <v>35</v>
      </c>
      <c r="F14" s="16" t="s">
        <v>17</v>
      </c>
    </row>
    <row r="15" spans="1:6">
      <c r="A15" s="17" t="s">
        <v>45</v>
      </c>
      <c r="B15" s="17" t="s">
        <v>46</v>
      </c>
      <c r="C15" s="17" t="s">
        <v>47</v>
      </c>
      <c r="D15" s="17">
        <v>150</v>
      </c>
      <c r="E15" s="17">
        <v>15</v>
      </c>
      <c r="F15" s="17" t="s">
        <v>9</v>
      </c>
    </row>
    <row r="16" spans="1:6">
      <c r="A16" s="16" t="s">
        <v>48</v>
      </c>
      <c r="B16" s="16" t="s">
        <v>26</v>
      </c>
      <c r="C16" s="16" t="s">
        <v>49</v>
      </c>
      <c r="D16" s="16">
        <v>250</v>
      </c>
      <c r="E16" s="16">
        <v>20</v>
      </c>
      <c r="F16" s="16" t="s">
        <v>9</v>
      </c>
    </row>
    <row r="17" spans="1:6">
      <c r="A17" s="17" t="s">
        <v>50</v>
      </c>
      <c r="B17" s="17" t="s">
        <v>51</v>
      </c>
      <c r="C17" s="17" t="s">
        <v>52</v>
      </c>
      <c r="D17" s="17">
        <v>50</v>
      </c>
      <c r="E17" s="17">
        <v>35</v>
      </c>
      <c r="F17" s="17" t="s">
        <v>53</v>
      </c>
    </row>
    <row r="18" spans="1:6">
      <c r="A18" s="16" t="s">
        <v>54</v>
      </c>
      <c r="B18" s="16" t="s">
        <v>46</v>
      </c>
      <c r="C18" s="16" t="s">
        <v>55</v>
      </c>
      <c r="D18" s="16">
        <v>160</v>
      </c>
      <c r="E18" s="16">
        <v>15</v>
      </c>
      <c r="F18" s="16" t="s">
        <v>9</v>
      </c>
    </row>
    <row r="19" spans="1:6">
      <c r="A19" s="17" t="s">
        <v>56</v>
      </c>
      <c r="B19" s="17" t="s">
        <v>7</v>
      </c>
      <c r="C19" s="17" t="s">
        <v>57</v>
      </c>
      <c r="D19" s="17">
        <v>980</v>
      </c>
      <c r="E19" s="17">
        <v>10</v>
      </c>
      <c r="F19" s="17" t="s">
        <v>9</v>
      </c>
    </row>
    <row r="20" spans="1:6">
      <c r="A20" s="16" t="s">
        <v>58</v>
      </c>
      <c r="B20" s="16" t="s">
        <v>59</v>
      </c>
      <c r="C20" s="16" t="s">
        <v>60</v>
      </c>
      <c r="D20" s="16">
        <v>150</v>
      </c>
      <c r="E20" s="16">
        <v>15</v>
      </c>
      <c r="F20" s="16" t="s">
        <v>13</v>
      </c>
    </row>
    <row r="21" spans="1:6">
      <c r="A21" s="17" t="s">
        <v>61</v>
      </c>
      <c r="B21" s="17" t="s">
        <v>62</v>
      </c>
      <c r="C21" s="17" t="s">
        <v>63</v>
      </c>
      <c r="D21" s="17">
        <v>200</v>
      </c>
      <c r="E21" s="17">
        <v>10</v>
      </c>
      <c r="F21" s="17" t="s">
        <v>24</v>
      </c>
    </row>
    <row r="22" spans="1:6">
      <c r="A22" s="16" t="s">
        <v>64</v>
      </c>
      <c r="B22" s="16" t="s">
        <v>65</v>
      </c>
      <c r="C22" s="16" t="s">
        <v>66</v>
      </c>
      <c r="D22" s="16">
        <v>700</v>
      </c>
      <c r="E22" s="16">
        <v>50</v>
      </c>
      <c r="F22" s="16" t="s">
        <v>9</v>
      </c>
    </row>
    <row r="23" spans="1:6">
      <c r="A23" s="17" t="s">
        <v>67</v>
      </c>
      <c r="B23" s="17" t="s">
        <v>68</v>
      </c>
      <c r="C23" s="17" t="s">
        <v>69</v>
      </c>
      <c r="D23" s="17">
        <v>80</v>
      </c>
      <c r="E23" s="17">
        <v>20</v>
      </c>
      <c r="F23" s="17" t="s">
        <v>17</v>
      </c>
    </row>
    <row r="24" spans="1:6">
      <c r="A24" s="16" t="s">
        <v>70</v>
      </c>
      <c r="B24" s="16" t="s">
        <v>71</v>
      </c>
      <c r="C24" s="16" t="s">
        <v>72</v>
      </c>
      <c r="D24" s="16">
        <v>150</v>
      </c>
      <c r="E24" s="16">
        <v>30</v>
      </c>
      <c r="F24" s="16" t="s">
        <v>9</v>
      </c>
    </row>
    <row r="25" spans="1:6">
      <c r="A25" s="17" t="s">
        <v>50</v>
      </c>
      <c r="B25" s="17" t="s">
        <v>51</v>
      </c>
      <c r="C25" s="17" t="s">
        <v>52</v>
      </c>
      <c r="D25" s="17">
        <v>50</v>
      </c>
      <c r="E25" s="17">
        <v>35</v>
      </c>
      <c r="F25" s="17" t="s">
        <v>53</v>
      </c>
    </row>
    <row r="26" spans="1:6">
      <c r="A26" s="16" t="s">
        <v>73</v>
      </c>
      <c r="B26" s="16" t="s">
        <v>19</v>
      </c>
      <c r="C26" s="16" t="s">
        <v>74</v>
      </c>
      <c r="D26" s="16">
        <v>800</v>
      </c>
      <c r="E26" s="16">
        <v>45</v>
      </c>
      <c r="F26" s="16" t="s">
        <v>9</v>
      </c>
    </row>
    <row r="27" spans="1:6">
      <c r="A27" s="17" t="s">
        <v>75</v>
      </c>
      <c r="B27" s="17" t="s">
        <v>59</v>
      </c>
      <c r="C27" s="17" t="s">
        <v>76</v>
      </c>
      <c r="D27" s="17">
        <v>130</v>
      </c>
      <c r="E27" s="17">
        <v>25</v>
      </c>
      <c r="F27" s="17" t="s">
        <v>13</v>
      </c>
    </row>
    <row r="28" spans="1:6">
      <c r="A28" s="16" t="s">
        <v>77</v>
      </c>
      <c r="B28" s="16" t="s">
        <v>32</v>
      </c>
      <c r="C28" s="16" t="s">
        <v>78</v>
      </c>
      <c r="D28" s="16">
        <v>400</v>
      </c>
      <c r="E28" s="16">
        <v>40</v>
      </c>
      <c r="F28" s="16" t="s">
        <v>17</v>
      </c>
    </row>
    <row r="29" spans="1:6">
      <c r="A29" s="17" t="s">
        <v>48</v>
      </c>
      <c r="B29" s="17" t="s">
        <v>26</v>
      </c>
      <c r="C29" s="17" t="s">
        <v>49</v>
      </c>
      <c r="D29" s="17">
        <v>230</v>
      </c>
      <c r="E29" s="17">
        <v>20</v>
      </c>
      <c r="F29" s="17" t="s">
        <v>9</v>
      </c>
    </row>
    <row r="30" spans="1:6">
      <c r="A30" s="16" t="s">
        <v>79</v>
      </c>
      <c r="B30" s="16" t="s">
        <v>80</v>
      </c>
      <c r="C30" s="16" t="s">
        <v>81</v>
      </c>
      <c r="D30" s="16">
        <v>60</v>
      </c>
      <c r="E30" s="16">
        <v>30</v>
      </c>
      <c r="F30" s="16" t="s">
        <v>13</v>
      </c>
    </row>
    <row r="31" spans="1:6">
      <c r="A31" s="17" t="s">
        <v>82</v>
      </c>
      <c r="B31" s="17" t="s">
        <v>83</v>
      </c>
      <c r="C31" s="17" t="s">
        <v>84</v>
      </c>
      <c r="D31" s="17">
        <v>40</v>
      </c>
      <c r="E31" s="17">
        <v>10</v>
      </c>
      <c r="F31" s="17" t="s">
        <v>17</v>
      </c>
    </row>
    <row r="32" spans="1:6">
      <c r="A32" s="16" t="s">
        <v>85</v>
      </c>
      <c r="B32" s="16" t="s">
        <v>71</v>
      </c>
      <c r="C32" s="16" t="s">
        <v>86</v>
      </c>
      <c r="D32" s="16">
        <v>130</v>
      </c>
      <c r="E32" s="16">
        <v>5</v>
      </c>
      <c r="F32" s="16" t="s">
        <v>9</v>
      </c>
    </row>
    <row r="33" spans="1:6">
      <c r="A33" s="17" t="s">
        <v>87</v>
      </c>
      <c r="B33" s="17" t="s">
        <v>88</v>
      </c>
      <c r="C33" s="17" t="s">
        <v>89</v>
      </c>
      <c r="D33" s="17">
        <v>50</v>
      </c>
      <c r="E33" s="17">
        <v>50</v>
      </c>
      <c r="F33" s="17" t="s">
        <v>13</v>
      </c>
    </row>
    <row r="34" spans="1:6">
      <c r="A34" s="16" t="s">
        <v>40</v>
      </c>
      <c r="B34" s="16" t="s">
        <v>7</v>
      </c>
      <c r="C34" s="16" t="s">
        <v>41</v>
      </c>
      <c r="D34" s="16">
        <v>950</v>
      </c>
      <c r="E34" s="16">
        <v>25</v>
      </c>
      <c r="F34" s="16" t="s">
        <v>9</v>
      </c>
    </row>
    <row r="35" spans="1:6">
      <c r="A35" s="17" t="s">
        <v>90</v>
      </c>
      <c r="B35" s="17" t="s">
        <v>91</v>
      </c>
      <c r="C35" s="17" t="s">
        <v>92</v>
      </c>
      <c r="D35" s="17">
        <v>100</v>
      </c>
      <c r="E35" s="17">
        <v>20</v>
      </c>
      <c r="F35" s="17" t="s">
        <v>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workbookViewId="0">
      <selection activeCell="M8" sqref="M8"/>
    </sheetView>
  </sheetViews>
  <sheetFormatPr defaultColWidth="9.14285714285714" defaultRowHeight="15"/>
  <cols>
    <col min="1" max="1" width="18" style="1" customWidth="1"/>
    <col min="2" max="2" width="36" style="1" customWidth="1"/>
    <col min="3" max="3" width="16.5714285714286" style="1" customWidth="1"/>
    <col min="4" max="4" width="15" style="1" customWidth="1"/>
    <col min="5" max="5" width="15.8571428571429" style="1" customWidth="1"/>
    <col min="6" max="6" width="17.4285714285714" style="1" customWidth="1"/>
    <col min="7" max="7" width="13.5714285714286" style="1" customWidth="1"/>
    <col min="8" max="8" width="12.2857142857143" style="1" customWidth="1"/>
    <col min="9" max="16384" width="9.14285714285714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93</v>
      </c>
      <c r="H1" s="3" t="s">
        <v>94</v>
      </c>
      <c r="I1" s="3" t="s">
        <v>95</v>
      </c>
      <c r="J1" s="3" t="s">
        <v>96</v>
      </c>
    </row>
    <row r="2" spans="1:10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4" t="s">
        <v>9</v>
      </c>
      <c r="G2" s="5" t="str">
        <f>IF(D2&gt;=500,"High Price","Standard Price")</f>
        <v>High Price</v>
      </c>
      <c r="H2" s="5" t="str">
        <f>LEFT(A2,2)</f>
        <v>28</v>
      </c>
      <c r="I2" s="5" t="str">
        <f>RIGHT(A2,2)</f>
        <v>US</v>
      </c>
      <c r="J2" s="5" t="str">
        <f>MID(A2,4,3)</f>
        <v>JAN</v>
      </c>
    </row>
    <row r="3" spans="1:10">
      <c r="A3" s="6" t="s">
        <v>10</v>
      </c>
      <c r="B3" s="6" t="s">
        <v>11</v>
      </c>
      <c r="C3" s="6" t="s">
        <v>12</v>
      </c>
      <c r="D3" s="6">
        <v>80</v>
      </c>
      <c r="E3" s="6">
        <v>15</v>
      </c>
      <c r="F3" s="6" t="s">
        <v>13</v>
      </c>
      <c r="G3" s="7" t="str">
        <f t="shared" ref="G3:G35" si="0">IF(D3&gt;=500,"High Price","Standard Price")</f>
        <v>Standard Price</v>
      </c>
      <c r="H3" s="7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</row>
    <row r="4" spans="1:10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4" t="s">
        <v>17</v>
      </c>
      <c r="G4" s="7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</row>
    <row r="5" spans="1:10">
      <c r="A5" s="6" t="s">
        <v>18</v>
      </c>
      <c r="B5" s="6" t="s">
        <v>19</v>
      </c>
      <c r="C5" s="6" t="s">
        <v>20</v>
      </c>
      <c r="D5" s="6">
        <v>900</v>
      </c>
      <c r="E5" s="6">
        <v>25</v>
      </c>
      <c r="F5" s="6" t="s">
        <v>9</v>
      </c>
      <c r="G5" s="7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</row>
    <row r="6" spans="1:10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4" t="s">
        <v>24</v>
      </c>
      <c r="G6" s="7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7" t="str">
        <f t="shared" si="3"/>
        <v>MAY</v>
      </c>
    </row>
    <row r="7" spans="1:10">
      <c r="A7" s="6" t="s">
        <v>25</v>
      </c>
      <c r="B7" s="6" t="s">
        <v>26</v>
      </c>
      <c r="C7" s="6" t="s">
        <v>27</v>
      </c>
      <c r="D7" s="6">
        <v>200</v>
      </c>
      <c r="E7" s="6">
        <v>45</v>
      </c>
      <c r="F7" s="6" t="s">
        <v>9</v>
      </c>
      <c r="G7" s="7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</row>
    <row r="8" spans="1:10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4" t="s">
        <v>13</v>
      </c>
      <c r="G8" s="7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</row>
    <row r="9" spans="1:10">
      <c r="A9" s="6" t="s">
        <v>31</v>
      </c>
      <c r="B9" s="6" t="s">
        <v>32</v>
      </c>
      <c r="C9" s="6" t="s">
        <v>33</v>
      </c>
      <c r="D9" s="6">
        <v>90</v>
      </c>
      <c r="E9" s="6">
        <v>35</v>
      </c>
      <c r="F9" s="6" t="s">
        <v>17</v>
      </c>
      <c r="G9" s="7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</row>
    <row r="10" spans="1:10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4" t="s">
        <v>9</v>
      </c>
      <c r="G10" s="7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</row>
    <row r="11" spans="1:10">
      <c r="A11" s="6" t="s">
        <v>37</v>
      </c>
      <c r="B11" s="6" t="s">
        <v>38</v>
      </c>
      <c r="C11" s="6" t="s">
        <v>39</v>
      </c>
      <c r="D11" s="6">
        <v>130</v>
      </c>
      <c r="E11" s="6">
        <v>10</v>
      </c>
      <c r="F11" s="6" t="s">
        <v>24</v>
      </c>
      <c r="G11" s="7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</row>
    <row r="12" spans="1:10">
      <c r="A12" s="4" t="s">
        <v>40</v>
      </c>
      <c r="B12" s="4" t="s">
        <v>7</v>
      </c>
      <c r="C12" s="4" t="s">
        <v>41</v>
      </c>
      <c r="D12" s="4">
        <v>950</v>
      </c>
      <c r="E12" s="4">
        <v>25</v>
      </c>
      <c r="F12" s="4" t="s">
        <v>9</v>
      </c>
      <c r="G12" s="7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f t="shared" si="3"/>
        <v>JUN</v>
      </c>
    </row>
    <row r="13" spans="1:10">
      <c r="A13" s="6" t="s">
        <v>42</v>
      </c>
      <c r="B13" s="6" t="s">
        <v>11</v>
      </c>
      <c r="C13" s="6" t="s">
        <v>30</v>
      </c>
      <c r="D13" s="6">
        <v>90</v>
      </c>
      <c r="E13" s="6">
        <v>40</v>
      </c>
      <c r="F13" s="6" t="s">
        <v>13</v>
      </c>
      <c r="G13" s="7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</row>
    <row r="14" spans="1:10">
      <c r="A14" s="4" t="s">
        <v>43</v>
      </c>
      <c r="B14" s="4" t="s">
        <v>15</v>
      </c>
      <c r="C14" s="4" t="s">
        <v>44</v>
      </c>
      <c r="D14" s="4">
        <v>120</v>
      </c>
      <c r="E14" s="4">
        <v>35</v>
      </c>
      <c r="F14" s="4" t="s">
        <v>17</v>
      </c>
      <c r="G14" s="7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</row>
    <row r="15" spans="1:10">
      <c r="A15" s="6" t="s">
        <v>45</v>
      </c>
      <c r="B15" s="6" t="s">
        <v>46</v>
      </c>
      <c r="C15" s="6" t="s">
        <v>47</v>
      </c>
      <c r="D15" s="6">
        <v>150</v>
      </c>
      <c r="E15" s="6">
        <v>15</v>
      </c>
      <c r="F15" s="6" t="s">
        <v>9</v>
      </c>
      <c r="G15" s="7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</row>
    <row r="16" spans="1:10">
      <c r="A16" s="4" t="s">
        <v>48</v>
      </c>
      <c r="B16" s="4" t="s">
        <v>26</v>
      </c>
      <c r="C16" s="4" t="s">
        <v>49</v>
      </c>
      <c r="D16" s="4">
        <v>250</v>
      </c>
      <c r="E16" s="4">
        <v>20</v>
      </c>
      <c r="F16" s="4" t="s">
        <v>9</v>
      </c>
      <c r="G16" s="7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</row>
    <row r="17" spans="1:10">
      <c r="A17" s="6" t="s">
        <v>50</v>
      </c>
      <c r="B17" s="6" t="s">
        <v>51</v>
      </c>
      <c r="C17" s="6" t="s">
        <v>52</v>
      </c>
      <c r="D17" s="6">
        <v>50</v>
      </c>
      <c r="E17" s="6">
        <v>35</v>
      </c>
      <c r="F17" s="6" t="s">
        <v>53</v>
      </c>
      <c r="G17" s="7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</row>
    <row r="18" spans="1:10">
      <c r="A18" s="4" t="s">
        <v>54</v>
      </c>
      <c r="B18" s="4" t="s">
        <v>46</v>
      </c>
      <c r="C18" s="4" t="s">
        <v>55</v>
      </c>
      <c r="D18" s="4">
        <v>160</v>
      </c>
      <c r="E18" s="4">
        <v>15</v>
      </c>
      <c r="F18" s="4" t="s">
        <v>9</v>
      </c>
      <c r="G18" s="7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7" t="str">
        <f t="shared" si="3"/>
        <v>AUG</v>
      </c>
    </row>
    <row r="19" spans="1:10">
      <c r="A19" s="6" t="s">
        <v>56</v>
      </c>
      <c r="B19" s="6" t="s">
        <v>7</v>
      </c>
      <c r="C19" s="6" t="s">
        <v>57</v>
      </c>
      <c r="D19" s="6">
        <v>980</v>
      </c>
      <c r="E19" s="6">
        <v>10</v>
      </c>
      <c r="F19" s="6" t="s">
        <v>9</v>
      </c>
      <c r="G19" s="7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spans="1:10">
      <c r="A20" s="4" t="s">
        <v>58</v>
      </c>
      <c r="B20" s="4" t="s">
        <v>59</v>
      </c>
      <c r="C20" s="4" t="s">
        <v>60</v>
      </c>
      <c r="D20" s="4">
        <v>150</v>
      </c>
      <c r="E20" s="4">
        <v>15</v>
      </c>
      <c r="F20" s="4" t="s">
        <v>13</v>
      </c>
      <c r="G20" s="7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0">
      <c r="A21" s="6" t="s">
        <v>61</v>
      </c>
      <c r="B21" s="6" t="s">
        <v>62</v>
      </c>
      <c r="C21" s="6" t="s">
        <v>63</v>
      </c>
      <c r="D21" s="6">
        <v>200</v>
      </c>
      <c r="E21" s="6">
        <v>10</v>
      </c>
      <c r="F21" s="6" t="s">
        <v>24</v>
      </c>
      <c r="G21" s="7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0">
      <c r="A22" s="4" t="s">
        <v>64</v>
      </c>
      <c r="B22" s="4" t="s">
        <v>65</v>
      </c>
      <c r="C22" s="4" t="s">
        <v>66</v>
      </c>
      <c r="D22" s="4">
        <v>700</v>
      </c>
      <c r="E22" s="4">
        <v>50</v>
      </c>
      <c r="F22" s="4" t="s">
        <v>9</v>
      </c>
      <c r="G22" s="7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0">
      <c r="A23" s="6" t="s">
        <v>67</v>
      </c>
      <c r="B23" s="6" t="s">
        <v>68</v>
      </c>
      <c r="C23" s="6" t="s">
        <v>69</v>
      </c>
      <c r="D23" s="6">
        <v>80</v>
      </c>
      <c r="E23" s="6">
        <v>20</v>
      </c>
      <c r="F23" s="6" t="s">
        <v>17</v>
      </c>
      <c r="G23" s="7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0">
      <c r="A24" s="4" t="s">
        <v>70</v>
      </c>
      <c r="B24" s="4" t="s">
        <v>71</v>
      </c>
      <c r="C24" s="4" t="s">
        <v>72</v>
      </c>
      <c r="D24" s="4">
        <v>150</v>
      </c>
      <c r="E24" s="4">
        <v>30</v>
      </c>
      <c r="F24" s="4" t="s">
        <v>9</v>
      </c>
      <c r="G24" s="7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7" t="str">
        <f t="shared" si="3"/>
        <v>JUL</v>
      </c>
    </row>
    <row r="25" spans="1:10">
      <c r="A25" s="6" t="s">
        <v>50</v>
      </c>
      <c r="B25" s="6" t="s">
        <v>51</v>
      </c>
      <c r="C25" s="6" t="s">
        <v>52</v>
      </c>
      <c r="D25" s="6">
        <v>50</v>
      </c>
      <c r="E25" s="6">
        <v>35</v>
      </c>
      <c r="F25" s="6" t="s">
        <v>53</v>
      </c>
      <c r="G25" s="7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0">
      <c r="A26" s="4" t="s">
        <v>73</v>
      </c>
      <c r="B26" s="4" t="s">
        <v>19</v>
      </c>
      <c r="C26" s="4" t="s">
        <v>74</v>
      </c>
      <c r="D26" s="4">
        <v>800</v>
      </c>
      <c r="E26" s="4">
        <v>45</v>
      </c>
      <c r="F26" s="4" t="s">
        <v>9</v>
      </c>
      <c r="G26" s="7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</row>
    <row r="27" spans="1:10">
      <c r="A27" s="6" t="s">
        <v>75</v>
      </c>
      <c r="B27" s="6" t="s">
        <v>59</v>
      </c>
      <c r="C27" s="6" t="s">
        <v>76</v>
      </c>
      <c r="D27" s="6">
        <v>130</v>
      </c>
      <c r="E27" s="6">
        <v>25</v>
      </c>
      <c r="F27" s="6" t="s">
        <v>13</v>
      </c>
      <c r="G27" s="7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0">
      <c r="A28" s="4" t="s">
        <v>77</v>
      </c>
      <c r="B28" s="4" t="s">
        <v>32</v>
      </c>
      <c r="C28" s="4" t="s">
        <v>78</v>
      </c>
      <c r="D28" s="4">
        <v>400</v>
      </c>
      <c r="E28" s="4">
        <v>40</v>
      </c>
      <c r="F28" s="4" t="s">
        <v>17</v>
      </c>
      <c r="G28" s="7" t="str">
        <f t="shared" si="0"/>
        <v>Standard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0">
      <c r="A29" s="6" t="s">
        <v>48</v>
      </c>
      <c r="B29" s="6" t="s">
        <v>26</v>
      </c>
      <c r="C29" s="6" t="s">
        <v>49</v>
      </c>
      <c r="D29" s="6">
        <v>230</v>
      </c>
      <c r="E29" s="6">
        <v>20</v>
      </c>
      <c r="F29" s="6" t="s">
        <v>9</v>
      </c>
      <c r="G29" s="7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0">
      <c r="A30" s="4" t="s">
        <v>79</v>
      </c>
      <c r="B30" s="4" t="s">
        <v>80</v>
      </c>
      <c r="C30" s="4" t="s">
        <v>81</v>
      </c>
      <c r="D30" s="4">
        <v>60</v>
      </c>
      <c r="E30" s="4">
        <v>30</v>
      </c>
      <c r="F30" s="4" t="s">
        <v>13</v>
      </c>
      <c r="G30" s="7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0">
      <c r="A31" s="6" t="s">
        <v>82</v>
      </c>
      <c r="B31" s="6" t="s">
        <v>83</v>
      </c>
      <c r="C31" s="6" t="s">
        <v>84</v>
      </c>
      <c r="D31" s="6">
        <v>40</v>
      </c>
      <c r="E31" s="6">
        <v>10</v>
      </c>
      <c r="F31" s="6" t="s">
        <v>17</v>
      </c>
      <c r="G31" s="7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0">
      <c r="A32" s="4" t="s">
        <v>85</v>
      </c>
      <c r="B32" s="4" t="s">
        <v>71</v>
      </c>
      <c r="C32" s="4" t="s">
        <v>86</v>
      </c>
      <c r="D32" s="4">
        <v>130</v>
      </c>
      <c r="E32" s="4">
        <v>5</v>
      </c>
      <c r="F32" s="4" t="s">
        <v>9</v>
      </c>
      <c r="G32" s="7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>
      <c r="A33" s="6" t="s">
        <v>87</v>
      </c>
      <c r="B33" s="6" t="s">
        <v>88</v>
      </c>
      <c r="C33" s="6" t="s">
        <v>89</v>
      </c>
      <c r="D33" s="6">
        <v>50</v>
      </c>
      <c r="E33" s="6">
        <v>50</v>
      </c>
      <c r="F33" s="6" t="s">
        <v>13</v>
      </c>
      <c r="G33" s="7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>
      <c r="A34" s="4" t="s">
        <v>40</v>
      </c>
      <c r="B34" s="4" t="s">
        <v>7</v>
      </c>
      <c r="C34" s="4" t="s">
        <v>41</v>
      </c>
      <c r="D34" s="4">
        <v>950</v>
      </c>
      <c r="E34" s="4">
        <v>25</v>
      </c>
      <c r="F34" s="4" t="s">
        <v>9</v>
      </c>
      <c r="G34" s="7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>
      <c r="A35" s="6" t="s">
        <v>90</v>
      </c>
      <c r="B35" s="6" t="s">
        <v>91</v>
      </c>
      <c r="C35" s="6" t="s">
        <v>92</v>
      </c>
      <c r="D35" s="6">
        <v>100</v>
      </c>
      <c r="E35" s="6">
        <v>20</v>
      </c>
      <c r="F35" s="6" t="s">
        <v>53</v>
      </c>
      <c r="G35" s="7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9" spans="1:10">
      <c r="B39" s="8" t="s">
        <v>97</v>
      </c>
      <c r="C39" s="9" t="s">
        <v>98</v>
      </c>
      <c r="D39" s="10">
        <f>SUM(D2:D35)</f>
        <v>10100</v>
      </c>
    </row>
    <row r="40" spans="1:10">
      <c r="B40" s="8" t="s">
        <v>99</v>
      </c>
      <c r="C40" s="9" t="s">
        <v>100</v>
      </c>
      <c r="D40" s="10">
        <f>COUNTA(B2:B35)</f>
        <v>34</v>
      </c>
    </row>
    <row r="41" spans="1:10">
      <c r="B41" s="8" t="s">
        <v>101</v>
      </c>
      <c r="C41" s="9" t="s">
        <v>102</v>
      </c>
      <c r="D41" s="10">
        <f>AVERAGE(D2:D35)</f>
        <v>297.058823529412</v>
      </c>
    </row>
    <row r="42" spans="1:10">
      <c r="B42" s="11" t="s">
        <v>103</v>
      </c>
      <c r="C42" s="9" t="s">
        <v>104</v>
      </c>
      <c r="D42" s="10">
        <f>MIN(D2:D35)</f>
        <v>30</v>
      </c>
    </row>
    <row r="43" spans="1:10">
      <c r="B43" s="12" t="s">
        <v>105</v>
      </c>
      <c r="C43" s="9" t="s">
        <v>106</v>
      </c>
      <c r="D43" s="10">
        <f>MAX(D2:D35)</f>
        <v>1000</v>
      </c>
    </row>
    <row r="44" ht="16" customHeight="1" spans="1:10">
      <c r="B44" s="13" t="s">
        <v>107</v>
      </c>
      <c r="C44" s="9" t="s">
        <v>108</v>
      </c>
      <c r="D44" s="10">
        <f>SUMIF(F2:F35,"Electronics",D2:D35)</f>
        <v>8050</v>
      </c>
    </row>
    <row r="45" spans="1:10">
      <c r="B45" s="14" t="s">
        <v>109</v>
      </c>
      <c r="C45" s="9" t="s">
        <v>110</v>
      </c>
      <c r="D45" s="10">
        <f>COUNTIF(D2:D35,"&lt;100")</f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 data sheet</vt:lpstr>
      <vt:lpstr>Data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2026-09-17T09:12:19Z</dcterms:created>
  <dcterms:modified xsi:type="dcterms:W3CDTF">2026-09-17T09:51:25Z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9BA803A727F9452EB2147BBBF3A75FDD_11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